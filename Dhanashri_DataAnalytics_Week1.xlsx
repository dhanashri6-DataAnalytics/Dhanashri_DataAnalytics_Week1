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6BCB369F-D223-47B3-8CE4-2C09D53637CE}" xr6:coauthVersionLast="47" xr6:coauthVersionMax="47" xr10:uidLastSave="{00000000-0000-0000-0000-000000000000}"/>
  <bookViews>
    <workbookView xWindow="-110" yWindow="-110" windowWidth="19420" windowHeight="10300" tabRatio="587" xr2:uid="{E0555522-821A-4D0A-80DF-65F0435E52D9}"/>
  </bookViews>
  <sheets>
    <sheet name="Employee_Salary_Dataset" sheetId="1" r:id="rId1"/>
    <sheet name="Chart" sheetId="17" r:id="rId2"/>
    <sheet name="Pivot Tables" sheetId="11" r:id="rId3"/>
    <sheet name="Dashboard" sheetId="18" r:id="rId4"/>
  </sheets>
  <externalReferences>
    <externalReference r:id="rId5"/>
  </externalReferences>
  <definedNames>
    <definedName name="_xlcn.WorksheetConnection_Employee_Salary_DatasetC1E361" hidden="1">Employee_Salary_Dataset!$C$1:$E$36</definedName>
    <definedName name="Slicer_Age">#N/A</definedName>
    <definedName name="Slicer_Gender">#N/A</definedName>
    <definedName name="Slicer_Salary">#N/A</definedName>
  </definedNames>
  <calcPr calcId="191029"/>
  <pivotCaches>
    <pivotCache cacheId="0" r:id="rId6"/>
    <pivotCache cacheId="16" r:id="rId7"/>
  </pivotCaches>
  <extLst>
    <ext xmlns:x14="http://schemas.microsoft.com/office/spreadsheetml/2009/9/main" uri="{876F7934-8845-4945-9796-88D515C7AA90}">
      <x14:pivotCaches>
        <pivotCache cacheId="17"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Employee_Salary_Dataset!$C$1:$E$3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L2" i="1"/>
  <c r="K2" i="1"/>
  <c r="J2" i="1"/>
  <c r="I2" i="1"/>
  <c r="H2" i="1"/>
  <c r="G12" i="1"/>
  <c r="G13" i="1"/>
  <c r="G14" i="1"/>
  <c r="G15" i="1"/>
  <c r="G16" i="1"/>
  <c r="G17" i="1"/>
  <c r="G18" i="1"/>
  <c r="G19" i="1"/>
  <c r="G20" i="1"/>
  <c r="G21" i="1"/>
  <c r="G22" i="1"/>
  <c r="G23" i="1"/>
  <c r="G24" i="1"/>
  <c r="G25" i="1"/>
  <c r="G26" i="1"/>
  <c r="G27" i="1"/>
  <c r="G28" i="1"/>
  <c r="G29" i="1"/>
  <c r="G30" i="1"/>
  <c r="G31" i="1"/>
  <c r="G32" i="1"/>
  <c r="G33" i="1"/>
  <c r="G34" i="1"/>
  <c r="G35" i="1"/>
  <c r="G36" i="1"/>
  <c r="G4" i="1"/>
  <c r="G5" i="1"/>
  <c r="G6" i="1"/>
  <c r="G7" i="1"/>
  <c r="G8" i="1"/>
  <c r="G9" i="1"/>
  <c r="G10" i="1"/>
  <c r="G11" i="1"/>
  <c r="G3"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572871-A112-4F9C-91EA-20BB8CC0AA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D426A4A-3DF9-4849-B58F-2C0EBA308310}" name="WorksheetConnection_Employee_Salary_Dataset!$C$1:$E$36" type="102" refreshedVersion="8" minRefreshableVersion="5">
    <extLst>
      <ext xmlns:x15="http://schemas.microsoft.com/office/spreadsheetml/2010/11/main" uri="{DE250136-89BD-433C-8126-D09CA5730AF9}">
        <x15:connection id="Range" autoDelete="1">
          <x15:rangePr sourceName="_xlcn.WorksheetConnection_Employee_Salary_DatasetC1E361"/>
        </x15:connection>
      </ext>
    </extLst>
  </connection>
</connections>
</file>

<file path=xl/sharedStrings.xml><?xml version="1.0" encoding="utf-8"?>
<sst xmlns="http://schemas.openxmlformats.org/spreadsheetml/2006/main" count="100" uniqueCount="20">
  <si>
    <t>ID</t>
  </si>
  <si>
    <t>Experience_Years</t>
  </si>
  <si>
    <t>Age</t>
  </si>
  <si>
    <t>Gender</t>
  </si>
  <si>
    <t>Salary</t>
  </si>
  <si>
    <t>Female</t>
  </si>
  <si>
    <t>Male</t>
  </si>
  <si>
    <t>Row Labels</t>
  </si>
  <si>
    <t>Grand Total</t>
  </si>
  <si>
    <t>IF</t>
  </si>
  <si>
    <t>COUNTIF</t>
  </si>
  <si>
    <t>SUMIF</t>
  </si>
  <si>
    <t>AVERAGE SALARY</t>
  </si>
  <si>
    <t>MAX SALARY</t>
  </si>
  <si>
    <t>MIN SALARY</t>
  </si>
  <si>
    <t>VLOOKUP</t>
  </si>
  <si>
    <t>Sum of Salary</t>
  </si>
  <si>
    <t>Sum of Experience_Years</t>
  </si>
  <si>
    <t>Sum of Age</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</si>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</sst>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sz val="2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0" fillId="0" borderId="10" xfId="0" applyBorder="1" applyAlignment="1">
      <alignment horizontal="center"/>
    </xf>
    <xf numFmtId="0" fontId="18" fillId="33" borderId="10" xfId="0" applyFont="1" applyFill="1" applyBorder="1" applyAlignment="1">
      <alignment horizontal="center"/>
    </xf>
    <xf numFmtId="0" fontId="17" fillId="0" borderId="0" xfId="0" applyFont="1"/>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0" xfId="0" applyFont="1" applyFill="1" applyBorder="1" applyAlignment="1">
      <alignment horizontal="left"/>
    </xf>
    <xf numFmtId="0" fontId="0" fillId="0" borderId="0" xfId="0" applyNumberFormat="1"/>
    <xf numFmtId="0" fontId="19" fillId="0" borderId="0" xfId="0" applyFont="1"/>
    <xf numFmtId="0" fontId="20" fillId="34" borderId="0" xfId="0" applyFont="1" applyFill="1"/>
    <xf numFmtId="0" fontId="1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Salary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Chart!$E$1</c:f>
              <c:strCache>
                <c:ptCount val="1"/>
                <c:pt idx="0">
                  <c:v>Salary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F14-4306-8E83-5BFEBB5AA16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F14-4306-8E83-5BFEBB5AA16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F14-4306-8E83-5BFEBB5AA16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F14-4306-8E83-5BFEBB5AA16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F14-4306-8E83-5BFEBB5AA16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F14-4306-8E83-5BFEBB5AA16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F14-4306-8E83-5BFEBB5AA164}"/>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F14-4306-8E83-5BFEBB5AA164}"/>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F14-4306-8E83-5BFEBB5AA164}"/>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F14-4306-8E83-5BFEBB5AA164}"/>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5F14-4306-8E83-5BFEBB5AA164}"/>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5F14-4306-8E83-5BFEBB5AA164}"/>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5F14-4306-8E83-5BFEBB5AA164}"/>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5F14-4306-8E83-5BFEBB5AA164}"/>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5F14-4306-8E83-5BFEBB5AA164}"/>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5F14-4306-8E83-5BFEBB5AA164}"/>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5F14-4306-8E83-5BFEBB5AA164}"/>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5F14-4306-8E83-5BFEBB5AA164}"/>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5F14-4306-8E83-5BFEBB5AA164}"/>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5F14-4306-8E83-5BFEBB5AA164}"/>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5F14-4306-8E83-5BFEBB5AA164}"/>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5F14-4306-8E83-5BFEBB5AA164}"/>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5F14-4306-8E83-5BFEBB5AA164}"/>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5F14-4306-8E83-5BFEBB5AA164}"/>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5F14-4306-8E83-5BFEBB5AA164}"/>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5F14-4306-8E83-5BFEBB5AA164}"/>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5F14-4306-8E83-5BFEBB5AA164}"/>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5F14-4306-8E83-5BFEBB5AA164}"/>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5F14-4306-8E83-5BFEBB5AA164}"/>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5F14-4306-8E83-5BFEBB5AA164}"/>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5F14-4306-8E83-5BFEBB5AA164}"/>
              </c:ext>
            </c:extLst>
          </c:dPt>
          <c:dPt>
            <c:idx val="31"/>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5F14-4306-8E83-5BFEBB5AA164}"/>
              </c:ext>
            </c:extLst>
          </c:dPt>
          <c:dPt>
            <c:idx val="32"/>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5F14-4306-8E83-5BFEBB5AA164}"/>
              </c:ext>
            </c:extLst>
          </c:dPt>
          <c:dPt>
            <c:idx val="33"/>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5F14-4306-8E83-5BFEBB5AA164}"/>
              </c:ext>
            </c:extLst>
          </c:dPt>
          <c:dPt>
            <c:idx val="34"/>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5-5F14-4306-8E83-5BFEBB5AA16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Chart!$D$2:$D$36</c:f>
              <c:strCache>
                <c:ptCount val="35"/>
                <c:pt idx="0">
                  <c:v>Female</c:v>
                </c:pt>
                <c:pt idx="1">
                  <c:v>Male</c:v>
                </c:pt>
                <c:pt idx="2">
                  <c:v>Female</c:v>
                </c:pt>
                <c:pt idx="3">
                  <c:v>Male</c:v>
                </c:pt>
                <c:pt idx="4">
                  <c:v>Male</c:v>
                </c:pt>
                <c:pt idx="5">
                  <c:v>Male</c:v>
                </c:pt>
                <c:pt idx="6">
                  <c:v>Female</c:v>
                </c:pt>
                <c:pt idx="7">
                  <c:v>Female</c:v>
                </c:pt>
                <c:pt idx="8">
                  <c:v>Female</c:v>
                </c:pt>
                <c:pt idx="9">
                  <c:v>Female</c:v>
                </c:pt>
                <c:pt idx="10">
                  <c:v>Female</c:v>
                </c:pt>
                <c:pt idx="11">
                  <c:v>Male</c:v>
                </c:pt>
                <c:pt idx="12">
                  <c:v>Male</c:v>
                </c:pt>
                <c:pt idx="13">
                  <c:v>Male</c:v>
                </c:pt>
                <c:pt idx="14">
                  <c:v>Male</c:v>
                </c:pt>
                <c:pt idx="15">
                  <c:v>Female</c:v>
                </c:pt>
                <c:pt idx="16">
                  <c:v>Female</c:v>
                </c:pt>
                <c:pt idx="17">
                  <c:v>Female</c:v>
                </c:pt>
                <c:pt idx="18">
                  <c:v>Male</c:v>
                </c:pt>
                <c:pt idx="19">
                  <c:v>Male</c:v>
                </c:pt>
                <c:pt idx="20">
                  <c:v>Male</c:v>
                </c:pt>
                <c:pt idx="21">
                  <c:v>Male</c:v>
                </c:pt>
                <c:pt idx="22">
                  <c:v>Male</c:v>
                </c:pt>
                <c:pt idx="23">
                  <c:v>Female</c:v>
                </c:pt>
                <c:pt idx="24">
                  <c:v>Female</c:v>
                </c:pt>
                <c:pt idx="25">
                  <c:v>Female</c:v>
                </c:pt>
                <c:pt idx="26">
                  <c:v>Male</c:v>
                </c:pt>
                <c:pt idx="27">
                  <c:v>Female</c:v>
                </c:pt>
                <c:pt idx="28">
                  <c:v>Female</c:v>
                </c:pt>
                <c:pt idx="29">
                  <c:v>Female</c:v>
                </c:pt>
                <c:pt idx="30">
                  <c:v>Male</c:v>
                </c:pt>
                <c:pt idx="31">
                  <c:v>Male</c:v>
                </c:pt>
                <c:pt idx="32">
                  <c:v>Female</c:v>
                </c:pt>
                <c:pt idx="33">
                  <c:v>Female</c:v>
                </c:pt>
                <c:pt idx="34">
                  <c:v>Male</c:v>
                </c:pt>
              </c:strCache>
            </c:strRef>
          </c:cat>
          <c:val>
            <c:numRef>
              <c:f>Chart!$E$2:$E$36</c:f>
              <c:numCache>
                <c:formatCode>General</c:formatCode>
                <c:ptCount val="35"/>
                <c:pt idx="0">
                  <c:v>250000</c:v>
                </c:pt>
                <c:pt idx="1">
                  <c:v>50000</c:v>
                </c:pt>
                <c:pt idx="2">
                  <c:v>170000</c:v>
                </c:pt>
                <c:pt idx="3">
                  <c:v>25000</c:v>
                </c:pt>
                <c:pt idx="4">
                  <c:v>10000</c:v>
                </c:pt>
                <c:pt idx="5">
                  <c:v>5001000</c:v>
                </c:pt>
                <c:pt idx="6">
                  <c:v>800000</c:v>
                </c:pt>
                <c:pt idx="7">
                  <c:v>9000</c:v>
                </c:pt>
                <c:pt idx="8">
                  <c:v>61500</c:v>
                </c:pt>
                <c:pt idx="9">
                  <c:v>650000</c:v>
                </c:pt>
                <c:pt idx="10">
                  <c:v>250000</c:v>
                </c:pt>
                <c:pt idx="11">
                  <c:v>1400000</c:v>
                </c:pt>
                <c:pt idx="12">
                  <c:v>6000050</c:v>
                </c:pt>
                <c:pt idx="13">
                  <c:v>220100</c:v>
                </c:pt>
                <c:pt idx="14">
                  <c:v>7500</c:v>
                </c:pt>
                <c:pt idx="15">
                  <c:v>87000</c:v>
                </c:pt>
                <c:pt idx="16">
                  <c:v>930000</c:v>
                </c:pt>
                <c:pt idx="17">
                  <c:v>7900000</c:v>
                </c:pt>
                <c:pt idx="18">
                  <c:v>15000</c:v>
                </c:pt>
                <c:pt idx="19">
                  <c:v>330000</c:v>
                </c:pt>
                <c:pt idx="20">
                  <c:v>6570000</c:v>
                </c:pt>
                <c:pt idx="21">
                  <c:v>25000</c:v>
                </c:pt>
                <c:pt idx="22">
                  <c:v>6845000</c:v>
                </c:pt>
                <c:pt idx="23">
                  <c:v>6000</c:v>
                </c:pt>
                <c:pt idx="24">
                  <c:v>8900</c:v>
                </c:pt>
                <c:pt idx="25">
                  <c:v>20000</c:v>
                </c:pt>
                <c:pt idx="26">
                  <c:v>3000</c:v>
                </c:pt>
                <c:pt idx="27">
                  <c:v>10000000</c:v>
                </c:pt>
                <c:pt idx="28">
                  <c:v>5000000</c:v>
                </c:pt>
                <c:pt idx="29">
                  <c:v>6100</c:v>
                </c:pt>
                <c:pt idx="30">
                  <c:v>80000</c:v>
                </c:pt>
                <c:pt idx="31">
                  <c:v>900000</c:v>
                </c:pt>
                <c:pt idx="32">
                  <c:v>1540000</c:v>
                </c:pt>
                <c:pt idx="33">
                  <c:v>9300000</c:v>
                </c:pt>
                <c:pt idx="34">
                  <c:v>7600000</c:v>
                </c:pt>
              </c:numCache>
            </c:numRef>
          </c:val>
          <c:extLst>
            <c:ext xmlns:c16="http://schemas.microsoft.com/office/drawing/2014/chart" uri="{C3380CC4-5D6E-409C-BE32-E72D297353CC}">
              <c16:uniqueId val="{00000000-1E79-44E1-9B23-3F8D1FBAF35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By Experience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Chart!$E$1</c:f>
              <c:strCache>
                <c:ptCount val="1"/>
                <c:pt idx="0">
                  <c:v>Salary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Chart!$E$2:$E$36</c:f>
              <c:numCache>
                <c:formatCode>General</c:formatCode>
                <c:ptCount val="35"/>
                <c:pt idx="0">
                  <c:v>250000</c:v>
                </c:pt>
                <c:pt idx="1">
                  <c:v>50000</c:v>
                </c:pt>
                <c:pt idx="2">
                  <c:v>170000</c:v>
                </c:pt>
                <c:pt idx="3">
                  <c:v>25000</c:v>
                </c:pt>
                <c:pt idx="4">
                  <c:v>10000</c:v>
                </c:pt>
                <c:pt idx="5">
                  <c:v>5001000</c:v>
                </c:pt>
                <c:pt idx="6">
                  <c:v>800000</c:v>
                </c:pt>
                <c:pt idx="7">
                  <c:v>9000</c:v>
                </c:pt>
                <c:pt idx="8">
                  <c:v>61500</c:v>
                </c:pt>
                <c:pt idx="9">
                  <c:v>650000</c:v>
                </c:pt>
                <c:pt idx="10">
                  <c:v>250000</c:v>
                </c:pt>
                <c:pt idx="11">
                  <c:v>1400000</c:v>
                </c:pt>
                <c:pt idx="12">
                  <c:v>6000050</c:v>
                </c:pt>
                <c:pt idx="13">
                  <c:v>220100</c:v>
                </c:pt>
                <c:pt idx="14">
                  <c:v>7500</c:v>
                </c:pt>
                <c:pt idx="15">
                  <c:v>87000</c:v>
                </c:pt>
                <c:pt idx="16">
                  <c:v>930000</c:v>
                </c:pt>
                <c:pt idx="17">
                  <c:v>7900000</c:v>
                </c:pt>
                <c:pt idx="18">
                  <c:v>15000</c:v>
                </c:pt>
                <c:pt idx="19">
                  <c:v>330000</c:v>
                </c:pt>
                <c:pt idx="20">
                  <c:v>6570000</c:v>
                </c:pt>
                <c:pt idx="21">
                  <c:v>25000</c:v>
                </c:pt>
                <c:pt idx="22">
                  <c:v>6845000</c:v>
                </c:pt>
                <c:pt idx="23">
                  <c:v>6000</c:v>
                </c:pt>
                <c:pt idx="24">
                  <c:v>8900</c:v>
                </c:pt>
                <c:pt idx="25">
                  <c:v>20000</c:v>
                </c:pt>
                <c:pt idx="26">
                  <c:v>3000</c:v>
                </c:pt>
                <c:pt idx="27">
                  <c:v>10000000</c:v>
                </c:pt>
                <c:pt idx="28">
                  <c:v>5000000</c:v>
                </c:pt>
                <c:pt idx="29">
                  <c:v>6100</c:v>
                </c:pt>
                <c:pt idx="30">
                  <c:v>80000</c:v>
                </c:pt>
                <c:pt idx="31">
                  <c:v>900000</c:v>
                </c:pt>
                <c:pt idx="32">
                  <c:v>1540000</c:v>
                </c:pt>
                <c:pt idx="33">
                  <c:v>9300000</c:v>
                </c:pt>
                <c:pt idx="34">
                  <c:v>7600000</c:v>
                </c:pt>
              </c:numCache>
            </c:numRef>
          </c:val>
          <c:extLst>
            <c:ext xmlns:c16="http://schemas.microsoft.com/office/drawing/2014/chart" uri="{C3380CC4-5D6E-409C-BE32-E72D297353CC}">
              <c16:uniqueId val="{00000000-8B79-412C-87CA-6B886F048227}"/>
            </c:ext>
          </c:extLst>
        </c:ser>
        <c:ser>
          <c:idx val="1"/>
          <c:order val="1"/>
          <c:tx>
            <c:strRef>
              <c:f>Chart!#REF!</c:f>
              <c:strCache>
                <c:ptCount val="1"/>
                <c:pt idx="0">
                  <c:v>#REF!</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Chart!#REF!</c:f>
              <c:numCache>
                <c:formatCode>General</c:formatCode>
                <c:ptCount val="1"/>
                <c:pt idx="0">
                  <c:v>1</c:v>
                </c:pt>
              </c:numCache>
            </c:numRef>
          </c:val>
          <c:extLst>
            <c:ext xmlns:c16="http://schemas.microsoft.com/office/drawing/2014/chart" uri="{C3380CC4-5D6E-409C-BE32-E72D297353CC}">
              <c16:uniqueId val="{00000001-8B79-412C-87CA-6B886F048227}"/>
            </c:ext>
          </c:extLst>
        </c:ser>
        <c:dLbls>
          <c:showLegendKey val="0"/>
          <c:showVal val="0"/>
          <c:showCatName val="0"/>
          <c:showSerName val="0"/>
          <c:showPercent val="0"/>
          <c:showBubbleSize val="0"/>
        </c:dLbls>
        <c:gapWidth val="100"/>
        <c:overlap val="-24"/>
        <c:axId val="656745160"/>
        <c:axId val="656740480"/>
      </c:barChart>
      <c:catAx>
        <c:axId val="656745160"/>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740480"/>
        <c:crosses val="autoZero"/>
        <c:auto val="1"/>
        <c:lblAlgn val="ctr"/>
        <c:lblOffset val="100"/>
        <c:noMultiLvlLbl val="0"/>
      </c:catAx>
      <c:valAx>
        <c:axId val="656740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745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[Dhanashri_DataAnalytics_Week1.xlsx]Pivot Tables!PivotTable18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6"/>
            </a:solidFill>
            <a:ln>
              <a:noFill/>
            </a:ln>
            <a:effectLst/>
          </c:spPr>
          <c:invertIfNegative val="0"/>
          <c:cat>
            <c:strRef>
              <c:f>'Pivot Tables'!$A$4:$A$6</c:f>
              <c:strCache>
                <c:ptCount val="2"/>
                <c:pt idx="0">
                  <c:v>Female</c:v>
                </c:pt>
                <c:pt idx="1">
                  <c:v>Male</c:v>
                </c:pt>
              </c:strCache>
            </c:strRef>
          </c:cat>
          <c:val>
            <c:numRef>
              <c:f>'Pivot Tables'!$B$4:$B$6</c:f>
              <c:numCache>
                <c:formatCode>General</c:formatCode>
                <c:ptCount val="2"/>
                <c:pt idx="0">
                  <c:v>36988500</c:v>
                </c:pt>
                <c:pt idx="1">
                  <c:v>35081650</c:v>
                </c:pt>
              </c:numCache>
            </c:numRef>
          </c:val>
          <c:extLst>
            <c:ext xmlns:c16="http://schemas.microsoft.com/office/drawing/2014/chart" uri="{C3380CC4-5D6E-409C-BE32-E72D297353CC}">
              <c16:uniqueId val="{00000000-2A71-4F26-AFCA-7F8D5BC03C4F}"/>
            </c:ext>
          </c:extLst>
        </c:ser>
        <c:dLbls>
          <c:showLegendKey val="0"/>
          <c:showVal val="0"/>
          <c:showCatName val="0"/>
          <c:showSerName val="0"/>
          <c:showPercent val="0"/>
          <c:showBubbleSize val="0"/>
        </c:dLbls>
        <c:gapWidth val="219"/>
        <c:overlap val="-27"/>
        <c:axId val="586908608"/>
        <c:axId val="586908968"/>
      </c:barChart>
      <c:catAx>
        <c:axId val="58690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908968"/>
        <c:crosses val="autoZero"/>
        <c:auto val="1"/>
        <c:lblAlgn val="ctr"/>
        <c:lblOffset val="100"/>
        <c:noMultiLvlLbl val="0"/>
      </c:catAx>
      <c:valAx>
        <c:axId val="586908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90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[Dhanashri_DataAnalytics_Week1.xlsx]Dashboard!PivotTable10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Dashboard!$B$5</c:f>
              <c:strCache>
                <c:ptCount val="1"/>
                <c:pt idx="0">
                  <c:v>Sum of Salary</c:v>
                </c:pt>
              </c:strCache>
            </c:strRef>
          </c:tx>
          <c:spPr>
            <a:solidFill>
              <a:schemeClr val="accent1"/>
            </a:solidFill>
            <a:ln>
              <a:noFill/>
            </a:ln>
            <a:effectLst/>
          </c:spPr>
          <c:invertIfNegative val="0"/>
          <c:cat>
            <c:strRef>
              <c:f>Dashboard!$A$6:$A$8</c:f>
              <c:strCache>
                <c:ptCount val="2"/>
                <c:pt idx="0">
                  <c:v>Female</c:v>
                </c:pt>
                <c:pt idx="1">
                  <c:v>Male</c:v>
                </c:pt>
              </c:strCache>
            </c:strRef>
          </c:cat>
          <c:val>
            <c:numRef>
              <c:f>Dashboard!$B$6:$B$8</c:f>
              <c:numCache>
                <c:formatCode>General</c:formatCode>
                <c:ptCount val="2"/>
                <c:pt idx="0">
                  <c:v>36988500</c:v>
                </c:pt>
                <c:pt idx="1">
                  <c:v>35081650</c:v>
                </c:pt>
              </c:numCache>
            </c:numRef>
          </c:val>
          <c:extLst>
            <c:ext xmlns:c16="http://schemas.microsoft.com/office/drawing/2014/chart" uri="{C3380CC4-5D6E-409C-BE32-E72D297353CC}">
              <c16:uniqueId val="{00000000-EF14-4AEC-9A64-113DC49B4D2A}"/>
            </c:ext>
          </c:extLst>
        </c:ser>
        <c:ser>
          <c:idx val="1"/>
          <c:order val="1"/>
          <c:tx>
            <c:strRef>
              <c:f>Dashboard!$C$5</c:f>
              <c:strCache>
                <c:ptCount val="1"/>
                <c:pt idx="0">
                  <c:v>Sum of Age</c:v>
                </c:pt>
              </c:strCache>
            </c:strRef>
          </c:tx>
          <c:spPr>
            <a:solidFill>
              <a:schemeClr val="accent2"/>
            </a:solidFill>
            <a:ln>
              <a:noFill/>
            </a:ln>
            <a:effectLst/>
          </c:spPr>
          <c:invertIfNegative val="0"/>
          <c:cat>
            <c:strRef>
              <c:f>Dashboard!$A$6:$A$8</c:f>
              <c:strCache>
                <c:ptCount val="2"/>
                <c:pt idx="0">
                  <c:v>Female</c:v>
                </c:pt>
                <c:pt idx="1">
                  <c:v>Male</c:v>
                </c:pt>
              </c:strCache>
            </c:strRef>
          </c:cat>
          <c:val>
            <c:numRef>
              <c:f>Dashboard!$C$6:$C$8</c:f>
              <c:numCache>
                <c:formatCode>General</c:formatCode>
                <c:ptCount val="2"/>
                <c:pt idx="0">
                  <c:v>668</c:v>
                </c:pt>
                <c:pt idx="1">
                  <c:v>574</c:v>
                </c:pt>
              </c:numCache>
            </c:numRef>
          </c:val>
          <c:extLst>
            <c:ext xmlns:c16="http://schemas.microsoft.com/office/drawing/2014/chart" uri="{C3380CC4-5D6E-409C-BE32-E72D297353CC}">
              <c16:uniqueId val="{00000001-EF14-4AEC-9A64-113DC49B4D2A}"/>
            </c:ext>
          </c:extLst>
        </c:ser>
        <c:ser>
          <c:idx val="2"/>
          <c:order val="2"/>
          <c:tx>
            <c:strRef>
              <c:f>Dashboard!$D$5</c:f>
              <c:strCache>
                <c:ptCount val="1"/>
                <c:pt idx="0">
                  <c:v>Sum of Experience_Years</c:v>
                </c:pt>
              </c:strCache>
            </c:strRef>
          </c:tx>
          <c:spPr>
            <a:solidFill>
              <a:schemeClr val="accent3"/>
            </a:solidFill>
            <a:ln>
              <a:noFill/>
            </a:ln>
            <a:effectLst/>
          </c:spPr>
          <c:invertIfNegative val="0"/>
          <c:cat>
            <c:strRef>
              <c:f>Dashboard!$A$6:$A$8</c:f>
              <c:strCache>
                <c:ptCount val="2"/>
                <c:pt idx="0">
                  <c:v>Female</c:v>
                </c:pt>
                <c:pt idx="1">
                  <c:v>Male</c:v>
                </c:pt>
              </c:strCache>
            </c:strRef>
          </c:cat>
          <c:val>
            <c:numRef>
              <c:f>Dashboard!$D$6:$D$8</c:f>
              <c:numCache>
                <c:formatCode>General</c:formatCode>
                <c:ptCount val="2"/>
                <c:pt idx="0">
                  <c:v>182</c:v>
                </c:pt>
                <c:pt idx="1">
                  <c:v>140</c:v>
                </c:pt>
              </c:numCache>
            </c:numRef>
          </c:val>
          <c:extLst>
            <c:ext xmlns:c16="http://schemas.microsoft.com/office/drawing/2014/chart" uri="{C3380CC4-5D6E-409C-BE32-E72D297353CC}">
              <c16:uniqueId val="{00000002-EF14-4AEC-9A64-113DC49B4D2A}"/>
            </c:ext>
          </c:extLst>
        </c:ser>
        <c:dLbls>
          <c:showLegendKey val="0"/>
          <c:showVal val="0"/>
          <c:showCatName val="0"/>
          <c:showSerName val="0"/>
          <c:showPercent val="0"/>
          <c:showBubbleSize val="0"/>
        </c:dLbls>
        <c:gapWidth val="219"/>
        <c:overlap val="-27"/>
        <c:axId val="584163160"/>
        <c:axId val="584166400"/>
      </c:barChart>
      <c:catAx>
        <c:axId val="584163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166400"/>
        <c:crosses val="autoZero"/>
        <c:auto val="1"/>
        <c:lblAlgn val="ctr"/>
        <c:lblOffset val="100"/>
        <c:noMultiLvlLbl val="0"/>
      </c:catAx>
      <c:valAx>
        <c:axId val="58416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163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122903</xdr:colOff>
      <xdr:row>27</xdr:row>
      <xdr:rowOff>158749</xdr:rowOff>
    </xdr:from>
    <xdr:to>
      <xdr:col>22</xdr:col>
      <xdr:colOff>204839</xdr:colOff>
      <xdr:row>63</xdr:row>
      <xdr:rowOff>168087</xdr:rowOff>
    </xdr:to>
    <xdr:graphicFrame macro="">
      <xdr:nvGraphicFramePr>
        <xdr:cNvPr id="2" name="Chart 1">
          <a:extLst>
            <a:ext uri="{FF2B5EF4-FFF2-40B4-BE49-F238E27FC236}">
              <a16:creationId xmlns:a16="http://schemas.microsoft.com/office/drawing/2014/main" id="{BEC72F98-4ECA-378F-F1F5-A7BAE08AC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70556</xdr:colOff>
      <xdr:row>1</xdr:row>
      <xdr:rowOff>56444</xdr:rowOff>
    </xdr:from>
    <xdr:to>
      <xdr:col>20</xdr:col>
      <xdr:colOff>437445</xdr:colOff>
      <xdr:row>25</xdr:row>
      <xdr:rowOff>0</xdr:rowOff>
    </xdr:to>
    <xdr:graphicFrame macro="">
      <xdr:nvGraphicFramePr>
        <xdr:cNvPr id="7" name="Chart 6">
          <a:extLst>
            <a:ext uri="{FF2B5EF4-FFF2-40B4-BE49-F238E27FC236}">
              <a16:creationId xmlns:a16="http://schemas.microsoft.com/office/drawing/2014/main" id="{38AEF966-A80F-81F1-57FB-DD62AB3E7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347266</xdr:colOff>
      <xdr:row>1</xdr:row>
      <xdr:rowOff>69454</xdr:rowOff>
    </xdr:from>
    <xdr:to>
      <xdr:col>13</xdr:col>
      <xdr:colOff>559593</xdr:colOff>
      <xdr:row>22</xdr:row>
      <xdr:rowOff>49610</xdr:rowOff>
    </xdr:to>
    <xdr:graphicFrame macro="">
      <xdr:nvGraphicFramePr>
        <xdr:cNvPr id="2" name="Chart 1">
          <a:extLst>
            <a:ext uri="{FF2B5EF4-FFF2-40B4-BE49-F238E27FC236}">
              <a16:creationId xmlns:a16="http://schemas.microsoft.com/office/drawing/2014/main" id="{C8C238EC-74C8-B0EB-2C0D-615A38A5C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240531</xdr:colOff>
      <xdr:row>3</xdr:row>
      <xdr:rowOff>19050</xdr:rowOff>
    </xdr:from>
    <xdr:to>
      <xdr:col>16</xdr:col>
      <xdr:colOff>34795</xdr:colOff>
      <xdr:row>22</xdr:row>
      <xdr:rowOff>144318</xdr:rowOff>
    </xdr:to>
    <xdr:graphicFrame macro="">
      <xdr:nvGraphicFramePr>
        <xdr:cNvPr id="2" name="Chart 1">
          <a:extLst>
            <a:ext uri="{FF2B5EF4-FFF2-40B4-BE49-F238E27FC236}">
              <a16:creationId xmlns:a16="http://schemas.microsoft.com/office/drawing/2014/main" id="{4EC709E8-6D17-1F08-797E-FAFC7F5E9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xdr:row>
      <xdr:rowOff>152400</xdr:rowOff>
    </xdr:from>
    <xdr:to>
      <xdr:col>4</xdr:col>
      <xdr:colOff>42809</xdr:colOff>
      <xdr:row>12</xdr:row>
      <xdr:rowOff>158749</xdr:rowOff>
    </xdr:to>
    <mc:AlternateContent xmlns:mc="http://schemas.openxmlformats.org/markup-compatibility/2006">
      <mc:Choice xmlns:a14="http://schemas.microsoft.com/office/drawing/2010/main" Requires="a14">
        <xdr:graphicFrame macro="">
          <xdr:nvGraphicFramePr>
            <xdr:cNvPr id="3" name="Age">
              <a:extLst>
                <a:ext uri="{FF2B5EF4-FFF2-40B4-BE49-F238E27FC236}">
                  <a16:creationId xmlns:a16="http://schemas.microsoft.com/office/drawing/2014/main" id="{39F8FBFD-AE91-9E63-D7FC-B8F1119AC7A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0" y="808334"/>
              <a:ext cx="3999347" cy="1834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28864</xdr:colOff>
      <xdr:row>10</xdr:row>
      <xdr:rowOff>55824</xdr:rowOff>
    </xdr:from>
    <xdr:to>
      <xdr:col>4</xdr:col>
      <xdr:colOff>48106</xdr:colOff>
      <xdr:row>16</xdr:row>
      <xdr:rowOff>28864</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E2651AEE-CD6A-7843-FBC3-194D20F031A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8864" y="2177143"/>
              <a:ext cx="3975780" cy="1061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28864</xdr:colOff>
      <xdr:row>16</xdr:row>
      <xdr:rowOff>96213</xdr:rowOff>
    </xdr:from>
    <xdr:to>
      <xdr:col>4</xdr:col>
      <xdr:colOff>35674</xdr:colOff>
      <xdr:row>22</xdr:row>
      <xdr:rowOff>121780</xdr:rowOff>
    </xdr:to>
    <mc:AlternateContent xmlns:mc="http://schemas.openxmlformats.org/markup-compatibility/2006">
      <mc:Choice xmlns:a14="http://schemas.microsoft.com/office/drawing/2010/main" Requires="a14">
        <xdr:graphicFrame macro="">
          <xdr:nvGraphicFramePr>
            <xdr:cNvPr id="5" name="Salary">
              <a:extLst>
                <a:ext uri="{FF2B5EF4-FFF2-40B4-BE49-F238E27FC236}">
                  <a16:creationId xmlns:a16="http://schemas.microsoft.com/office/drawing/2014/main" id="{DCAB6DC6-886F-15BE-C635-177F673407F5}"/>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dr:sp macro="" textlink="">
          <xdr:nvSpPr>
            <xdr:cNvPr id="0" name=""/>
            <xdr:cNvSpPr>
              <a:spLocks noTextEdit="1"/>
            </xdr:cNvSpPr>
          </xdr:nvSpPr>
          <xdr:spPr>
            <a:xfrm>
              <a:off x="28864" y="3306103"/>
              <a:ext cx="3963348" cy="1114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alary_Dashboard_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7.951287268515" backgroundQuery="1" createdVersion="8" refreshedVersion="8" minRefreshableVersion="3" recordCount="0" supportSubquery="1" supportAdvancedDrill="1" xr:uid="{55736F79-9BF8-49C9-99FA-681643854641}">
  <cacheSource type="external" connectionId="1"/>
  <cacheFields count="2">
    <cacheField name="[Measures].[Sum of Salary]" caption="Sum of Salary" numFmtId="0" hierarchy="5" level="32767"/>
    <cacheField name="[Range].[Gender].[Gender]" caption="Gender" numFmtId="0" hierarchy="1" level="1">
      <sharedItems count="2">
        <s v="Female"/>
        <s v="Male"/>
      </sharedItems>
    </cacheField>
  </cacheFields>
  <cacheHierarchies count="6">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Salary]" caption="Salary" attribute="1" defaultMemberUniqueName="[Range].[Salary].[All]" allUniqueName="[Range].[Salary].[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8.02974085648" createdVersion="8" refreshedVersion="8" minRefreshableVersion="3" recordCount="35" xr:uid="{A431F320-83B4-47E2-A633-71330E303B7C}">
  <cacheSource type="worksheet">
    <worksheetSource ref="A1:E36" sheet="Employee_Salary_Dataset"/>
  </cacheSource>
  <cacheFields count="5">
    <cacheField name="ID" numFmtId="0">
      <sharedItems containsSemiMixedTypes="0" containsString="0" containsNumber="1" containsInteger="1" minValue="1" maxValue="35"/>
    </cacheField>
    <cacheField name="Experience_Years" numFmtId="0">
      <sharedItems containsSemiMixedTypes="0" containsString="0" containsNumber="1" containsInteger="1" minValue="1" maxValue="27"/>
    </cacheField>
    <cacheField name="Age" numFmtId="0">
      <sharedItems containsSemiMixedTypes="0" containsString="0" containsNumber="1" containsInteger="1" minValue="17" maxValue="62"/>
    </cacheField>
    <cacheField name="Gender" numFmtId="0">
      <sharedItems count="2">
        <s v="Female"/>
        <s v="Male"/>
      </sharedItems>
    </cacheField>
    <cacheField name="Salary" numFmtId="0">
      <sharedItems containsSemiMixedTypes="0" containsString="0" containsNumber="1" containsInteger="1" minValue="3000" maxValue="10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8.031657060186" backgroundQuery="1" createdVersion="3" refreshedVersion="8" minRefreshableVersion="3" recordCount="0" supportSubquery="1" supportAdvancedDrill="1" xr:uid="{170A7637-FD40-4A39-A717-AC2C593B00AA}">
  <cacheSource type="external" connectionId="1">
    <extLst>
      <ext xmlns:x14="http://schemas.microsoft.com/office/spreadsheetml/2009/9/main" uri="{F057638F-6D5F-4e77-A914-E7F072B9BCA8}">
        <x14:sourceConnection name="ThisWorkbookDataModel"/>
      </ext>
    </extLst>
  </cacheSource>
  <cacheFields count="0"/>
  <cacheHierarchies count="7">
    <cacheHierarchy uniqueName="[Measures]" caption="Measures" attribute="1" keyAttribute="1" defaultMemberUniqueName="[Measures].[__No measures defined]" dimensionUniqueName="[Measures]" displayFolder="" measures="1" count="1" memberValueDatatype="130" unbalanced="0"/>
    <cacheHierarchy uniqueName="[Range].[Age]" caption="Age" attribute="1" defaultMemberUniqueName="[Range].[Age].[All]" allUniqueName="[Range].[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Salary]" caption="Salary" attribute="1" defaultMemberUniqueName="[Range].[Salary].[All]" allUniqueName="[Range].[Salary].[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197059443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1"/>
    <n v="5"/>
    <n v="28"/>
    <x v="0"/>
    <n v="250000"/>
  </r>
  <r>
    <n v="2"/>
    <n v="1"/>
    <n v="21"/>
    <x v="1"/>
    <n v="50000"/>
  </r>
  <r>
    <n v="3"/>
    <n v="3"/>
    <n v="23"/>
    <x v="0"/>
    <n v="170000"/>
  </r>
  <r>
    <n v="4"/>
    <n v="2"/>
    <n v="22"/>
    <x v="1"/>
    <n v="25000"/>
  </r>
  <r>
    <n v="5"/>
    <n v="1"/>
    <n v="17"/>
    <x v="1"/>
    <n v="10000"/>
  </r>
  <r>
    <n v="6"/>
    <n v="25"/>
    <n v="62"/>
    <x v="1"/>
    <n v="5001000"/>
  </r>
  <r>
    <n v="7"/>
    <n v="19"/>
    <n v="54"/>
    <x v="0"/>
    <n v="800000"/>
  </r>
  <r>
    <n v="8"/>
    <n v="2"/>
    <n v="21"/>
    <x v="0"/>
    <n v="9000"/>
  </r>
  <r>
    <n v="9"/>
    <n v="10"/>
    <n v="36"/>
    <x v="0"/>
    <n v="61500"/>
  </r>
  <r>
    <n v="10"/>
    <n v="15"/>
    <n v="54"/>
    <x v="0"/>
    <n v="650000"/>
  </r>
  <r>
    <n v="11"/>
    <n v="4"/>
    <n v="26"/>
    <x v="0"/>
    <n v="250000"/>
  </r>
  <r>
    <n v="12"/>
    <n v="6"/>
    <n v="29"/>
    <x v="1"/>
    <n v="1400000"/>
  </r>
  <r>
    <n v="13"/>
    <n v="14"/>
    <n v="39"/>
    <x v="1"/>
    <n v="6000050"/>
  </r>
  <r>
    <n v="14"/>
    <n v="11"/>
    <n v="40"/>
    <x v="1"/>
    <n v="220100"/>
  </r>
  <r>
    <n v="15"/>
    <n v="2"/>
    <n v="23"/>
    <x v="1"/>
    <n v="7500"/>
  </r>
  <r>
    <n v="16"/>
    <n v="4"/>
    <n v="27"/>
    <x v="0"/>
    <n v="87000"/>
  </r>
  <r>
    <n v="17"/>
    <n v="10"/>
    <n v="34"/>
    <x v="0"/>
    <n v="930000"/>
  </r>
  <r>
    <n v="18"/>
    <n v="15"/>
    <n v="54"/>
    <x v="0"/>
    <n v="7900000"/>
  </r>
  <r>
    <n v="19"/>
    <n v="2"/>
    <n v="21"/>
    <x v="1"/>
    <n v="15000"/>
  </r>
  <r>
    <n v="20"/>
    <n v="10"/>
    <n v="36"/>
    <x v="1"/>
    <n v="330000"/>
  </r>
  <r>
    <n v="21"/>
    <n v="15"/>
    <n v="54"/>
    <x v="1"/>
    <n v="6570000"/>
  </r>
  <r>
    <n v="22"/>
    <n v="4"/>
    <n v="26"/>
    <x v="1"/>
    <n v="25000"/>
  </r>
  <r>
    <n v="23"/>
    <n v="5"/>
    <n v="29"/>
    <x v="1"/>
    <n v="6845000"/>
  </r>
  <r>
    <n v="24"/>
    <n v="1"/>
    <n v="21"/>
    <x v="0"/>
    <n v="6000"/>
  </r>
  <r>
    <n v="25"/>
    <n v="4"/>
    <n v="23"/>
    <x v="0"/>
    <n v="8900"/>
  </r>
  <r>
    <n v="26"/>
    <n v="3"/>
    <n v="22"/>
    <x v="0"/>
    <n v="20000"/>
  </r>
  <r>
    <n v="27"/>
    <n v="1"/>
    <n v="18"/>
    <x v="1"/>
    <n v="3000"/>
  </r>
  <r>
    <n v="28"/>
    <n v="27"/>
    <n v="62"/>
    <x v="0"/>
    <n v="10000000"/>
  </r>
  <r>
    <n v="29"/>
    <n v="19"/>
    <n v="54"/>
    <x v="0"/>
    <n v="5000000"/>
  </r>
  <r>
    <n v="30"/>
    <n v="2"/>
    <n v="21"/>
    <x v="0"/>
    <n v="6100"/>
  </r>
  <r>
    <n v="31"/>
    <n v="10"/>
    <n v="34"/>
    <x v="1"/>
    <n v="80000"/>
  </r>
  <r>
    <n v="32"/>
    <n v="15"/>
    <n v="54"/>
    <x v="1"/>
    <n v="900000"/>
  </r>
  <r>
    <n v="33"/>
    <n v="20"/>
    <n v="55"/>
    <x v="0"/>
    <n v="1540000"/>
  </r>
  <r>
    <n v="34"/>
    <n v="19"/>
    <n v="53"/>
    <x v="0"/>
    <n v="9300000"/>
  </r>
  <r>
    <n v="35"/>
    <n v="16"/>
    <n v="49"/>
    <x v="1"/>
    <n v="76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4FC013-1AA5-4860-ACC8-250857441F7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
    <pivotField dataField="1" subtotalTop="0" showAll="0" defaultSubtotal="0"/>
    <pivotField axis="axisRow" allDrilled="1" showAll="0" dataSourceSort="1" defaultAttributeDrillState="1">
      <items count="3">
        <item x="0"/>
        <item x="1"/>
        <item t="default"/>
      </items>
    </pivotField>
  </pivotFields>
  <rowFields count="1">
    <field x="1"/>
  </rowFields>
  <rowItems count="3">
    <i>
      <x/>
    </i>
    <i>
      <x v="1"/>
    </i>
    <i t="grand">
      <x/>
    </i>
  </rowItems>
  <colItems count="1">
    <i/>
  </colItems>
  <dataFields count="1">
    <dataField name="Sum of Salary"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6">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Salary_Dataset!$C$1:$E$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E345A2-4892-40DC-8FC6-91102972C989}"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D8" firstHeaderRow="0" firstDataRow="1" firstDataCol="1"/>
  <pivotFields count="5">
    <pivotField showAll="0"/>
    <pivotField dataField="1" showAll="0"/>
    <pivotField dataField="1" showAll="0"/>
    <pivotField axis="axisRow" showAll="0">
      <items count="3">
        <item x="0"/>
        <item x="1"/>
        <item t="default"/>
      </items>
    </pivotField>
    <pivotField dataField="1" showAll="0"/>
  </pivotFields>
  <rowFields count="1">
    <field x="3"/>
  </rowFields>
  <rowItems count="3">
    <i>
      <x/>
    </i>
    <i>
      <x v="1"/>
    </i>
    <i t="grand">
      <x/>
    </i>
  </rowItems>
  <colFields count="1">
    <field x="-2"/>
  </colFields>
  <colItems count="3">
    <i>
      <x/>
    </i>
    <i i="1">
      <x v="1"/>
    </i>
    <i i="2">
      <x v="2"/>
    </i>
  </colItems>
  <dataFields count="3">
    <dataField name="Sum of Salary" fld="4" baseField="0" baseItem="0"/>
    <dataField name="Sum of Age" fld="2" baseField="0" baseItem="0"/>
    <dataField name="Sum of Experience_Years" fld="1"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D952014-97A0-426B-BE01-62C3081CE14A}" sourceName="[Range].[Age]">
  <data>
    <olap pivotCacheId="1970594433">
      <levels count="2">
        <level uniqueName="[Range].[Age].[(All)]" sourceCaption="(All)" count="0"/>
        <level uniqueName="[Range].[Age].[Age]" sourceCaption="Age" count="18">
          <ranges>
            <range startItem="0">
              <i n="[Range].[Age].&amp;[17]" c="17"/>
              <i n="[Range].[Age].&amp;[18]" c="18"/>
              <i n="[Range].[Age].&amp;[21]" c="21"/>
              <i n="[Range].[Age].&amp;[22]" c="22"/>
              <i n="[Range].[Age].&amp;[23]" c="23"/>
              <i n="[Range].[Age].&amp;[26]" c="26"/>
              <i n="[Range].[Age].&amp;[27]" c="27"/>
              <i n="[Range].[Age].&amp;[28]" c="28"/>
              <i n="[Range].[Age].&amp;[29]" c="29"/>
              <i n="[Range].[Age].&amp;[34]" c="34"/>
              <i n="[Range].[Age].&amp;[36]" c="36"/>
              <i n="[Range].[Age].&amp;[39]" c="39"/>
              <i n="[Range].[Age].&amp;[40]" c="40"/>
              <i n="[Range].[Age].&amp;[49]" c="49"/>
              <i n="[Range].[Age].&amp;[53]" c="53"/>
              <i n="[Range].[Age].&amp;[54]" c="54"/>
              <i n="[Range].[Age].&amp;[55]" c="55"/>
              <i n="[Range].[Age].&amp;[62]" c="62"/>
            </range>
          </ranges>
        </level>
      </levels>
      <selections count="16">
        <selection n="[Range].[Age].&amp;[18]"/>
        <selection n="[Range].[Age].&amp;[22]"/>
        <selection n="[Range].[Age].&amp;[23]"/>
        <selection n="[Range].[Age].&amp;[26]"/>
        <selection n="[Range].[Age].&amp;[27]"/>
        <selection n="[Range].[Age].&amp;[28]"/>
        <selection n="[Range].[Age].&amp;[29]"/>
        <selection n="[Range].[Age].&amp;[34]"/>
        <selection n="[Range].[Age].&amp;[36]"/>
        <selection n="[Range].[Age].&amp;[39]"/>
        <selection n="[Range].[Age].&amp;[40]"/>
        <selection n="[Range].[Age].&amp;[49]"/>
        <selection n="[Range].[Age].&amp;[53]"/>
        <selection n="[Range].[Age].&amp;[54]"/>
        <selection n="[Range].[Age].&amp;[55]"/>
        <selection n="[Range].[Age].&amp;[62]"/>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312A58-650F-4C88-8FD4-0BF795A80822}" sourceName="[Range].[Gender]">
  <data>
    <olap pivotCacheId="1970594433">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35E5C1F9-870C-4B7C-823F-BA8930452B35}" sourceName="[Range].[Salary]">
  <data>
    <olap pivotCacheId="1970594433">
      <levels count="2">
        <level uniqueName="[Range].[Salary].[(All)]" sourceCaption="(All)" count="0"/>
        <level uniqueName="[Range].[Salary].[Salary]" sourceCaption="Salary" count="33">
          <ranges>
            <range startItem="0">
              <i n="[Range].[Salary].&amp;[3000]" c="3000"/>
              <i n="[Range].[Salary].&amp;[6000]" c="6000"/>
              <i n="[Range].[Salary].&amp;[6100]" c="6100"/>
              <i n="[Range].[Salary].&amp;[7500]" c="7500"/>
              <i n="[Range].[Salary].&amp;[8900]" c="8900"/>
              <i n="[Range].[Salary].&amp;[9000]" c="9000"/>
              <i n="[Range].[Salary].&amp;[10000]" c="10000"/>
              <i n="[Range].[Salary].&amp;[15000]" c="15000"/>
              <i n="[Range].[Salary].&amp;[20000]" c="20000"/>
              <i n="[Range].[Salary].&amp;[25000]" c="25000"/>
              <i n="[Range].[Salary].&amp;[50000]" c="50000"/>
              <i n="[Range].[Salary].&amp;[61500]" c="61500"/>
              <i n="[Range].[Salary].&amp;[80000]" c="80000"/>
              <i n="[Range].[Salary].&amp;[87000]" c="87000"/>
              <i n="[Range].[Salary].&amp;[170000]" c="170000"/>
              <i n="[Range].[Salary].&amp;[220100]" c="220100"/>
              <i n="[Range].[Salary].&amp;[250000]" c="250000"/>
              <i n="[Range].[Salary].&amp;[330000]" c="330000"/>
              <i n="[Range].[Salary].&amp;[650000]" c="650000"/>
              <i n="[Range].[Salary].&amp;[800000]" c="800000"/>
              <i n="[Range].[Salary].&amp;[900000]" c="900000"/>
              <i n="[Range].[Salary].&amp;[930000]" c="930000"/>
              <i n="[Range].[Salary].&amp;[1400000]" c="1400000"/>
              <i n="[Range].[Salary].&amp;[1540000]" c="1540000"/>
              <i n="[Range].[Salary].&amp;[5000000]" c="5000000"/>
              <i n="[Range].[Salary].&amp;[5001000]" c="5001000"/>
              <i n="[Range].[Salary].&amp;[6000050]" c="6000050"/>
              <i n="[Range].[Salary].&amp;[6570000]" c="6570000"/>
              <i n="[Range].[Salary].&amp;[6845000]" c="6845000"/>
              <i n="[Range].[Salary].&amp;[7600000]" c="7600000"/>
              <i n="[Range].[Salary].&amp;[7900000]" c="7900000"/>
              <i n="[Range].[Salary].&amp;[9300000]" c="9300000"/>
              <i n="[Range].[Salary].&amp;[10000000]" c="10000000"/>
            </range>
          </ranges>
        </level>
      </levels>
      <selections count="1">
        <selection n="[Range].[Salary].&amp;[300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0B6387E9-7731-41AF-BF56-A2B6768BC1B4}" cache="Slicer_Age" caption="Age" level="1" rowHeight="241300"/>
  <slicer name="Gender" xr10:uid="{96665432-289C-4346-B7DD-5CC2B3AF1A84}" cache="Slicer_Gender" caption="Gender" level="1" rowHeight="241300"/>
  <slicer name="Salary" xr10:uid="{E72CF771-C1DB-44EB-A800-08DEB9C6259A}" cache="Slicer_Salary" caption="Salar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A80C3-078F-4B0C-9B8D-B89C10EFD184}">
  <dimension ref="A1:M36"/>
  <sheetViews>
    <sheetView tabSelected="1" zoomScale="77" zoomScaleNormal="100" workbookViewId="0">
      <selection activeCell="B1" sqref="B1"/>
    </sheetView>
  </sheetViews>
  <sheetFormatPr defaultRowHeight="14.5" x14ac:dyDescent="0.35"/>
  <cols>
    <col min="2" max="2" width="19.36328125" customWidth="1"/>
    <col min="7" max="7" width="15.6328125" customWidth="1"/>
    <col min="8" max="8" width="14.1796875" customWidth="1"/>
    <col min="9" max="9" width="12.81640625" customWidth="1"/>
    <col min="10" max="10" width="29.26953125" customWidth="1"/>
    <col min="11" max="11" width="21.54296875" customWidth="1"/>
    <col min="12" max="12" width="19.6328125" customWidth="1"/>
    <col min="13" max="13" width="11" customWidth="1"/>
  </cols>
  <sheetData>
    <row r="1" spans="1:13" ht="15.5" x14ac:dyDescent="0.35">
      <c r="A1" s="4" t="s">
        <v>0</v>
      </c>
      <c r="B1" s="4" t="s">
        <v>1</v>
      </c>
      <c r="C1" s="4" t="s">
        <v>2</v>
      </c>
      <c r="D1" s="4" t="s">
        <v>3</v>
      </c>
      <c r="E1" s="4" t="s">
        <v>4</v>
      </c>
      <c r="G1" s="6" t="s">
        <v>9</v>
      </c>
      <c r="H1" s="8" t="s">
        <v>10</v>
      </c>
      <c r="I1" s="4" t="s">
        <v>11</v>
      </c>
      <c r="J1" s="7" t="s">
        <v>12</v>
      </c>
      <c r="K1" s="7" t="s">
        <v>13</v>
      </c>
      <c r="L1" s="7" t="s">
        <v>14</v>
      </c>
      <c r="M1" s="7" t="s">
        <v>15</v>
      </c>
    </row>
    <row r="2" spans="1:13" x14ac:dyDescent="0.35">
      <c r="A2" s="3">
        <v>1</v>
      </c>
      <c r="B2" s="3">
        <v>5</v>
      </c>
      <c r="C2" s="3">
        <v>28</v>
      </c>
      <c r="D2" s="3" t="s">
        <v>5</v>
      </c>
      <c r="E2" s="3">
        <v>250000</v>
      </c>
      <c r="G2" t="str">
        <f>IF(E2&gt;=50000,"Matched","Not Matched")</f>
        <v>Matched</v>
      </c>
      <c r="H2">
        <f>COUNTIF(D2:D100,"Male")</f>
        <v>17</v>
      </c>
      <c r="I2">
        <f>SUMIF(D2:D100,"Male",E2:E100)</f>
        <v>35081650</v>
      </c>
      <c r="J2">
        <f>AVERAGE(E2:E100)</f>
        <v>2059147.142857143</v>
      </c>
      <c r="K2">
        <f>MAX(E2:E100)</f>
        <v>10000000</v>
      </c>
      <c r="L2">
        <f>MIN(E2:E100)</f>
        <v>3000</v>
      </c>
      <c r="M2">
        <f>VLOOKUP(5,A2:E35,5,FALSE)</f>
        <v>10000</v>
      </c>
    </row>
    <row r="3" spans="1:13" x14ac:dyDescent="0.35">
      <c r="A3" s="3">
        <v>2</v>
      </c>
      <c r="B3" s="3">
        <v>1</v>
      </c>
      <c r="C3" s="3">
        <v>21</v>
      </c>
      <c r="D3" s="3" t="s">
        <v>6</v>
      </c>
      <c r="E3" s="3">
        <v>50000</v>
      </c>
      <c r="G3" t="str">
        <f>IF(E3&gt;=50000,"Matched","Not Matched")</f>
        <v>Matched</v>
      </c>
    </row>
    <row r="4" spans="1:13" x14ac:dyDescent="0.35">
      <c r="A4" s="3">
        <v>3</v>
      </c>
      <c r="B4" s="3">
        <v>3</v>
      </c>
      <c r="C4" s="3">
        <v>23</v>
      </c>
      <c r="D4" s="3" t="s">
        <v>5</v>
      </c>
      <c r="E4" s="3">
        <v>170000</v>
      </c>
      <c r="G4" t="str">
        <f t="shared" ref="G4:G36" si="0">IF(E4&gt;=50000,"Matched","Not Matched")</f>
        <v>Matched</v>
      </c>
    </row>
    <row r="5" spans="1:13" x14ac:dyDescent="0.35">
      <c r="A5" s="3">
        <v>4</v>
      </c>
      <c r="B5" s="3">
        <v>2</v>
      </c>
      <c r="C5" s="3">
        <v>22</v>
      </c>
      <c r="D5" s="3" t="s">
        <v>6</v>
      </c>
      <c r="E5" s="3">
        <v>25000</v>
      </c>
      <c r="G5" t="str">
        <f t="shared" si="0"/>
        <v>Not Matched</v>
      </c>
    </row>
    <row r="6" spans="1:13" x14ac:dyDescent="0.35">
      <c r="A6" s="3">
        <v>5</v>
      </c>
      <c r="B6" s="3">
        <v>1</v>
      </c>
      <c r="C6" s="3">
        <v>17</v>
      </c>
      <c r="D6" s="3" t="s">
        <v>6</v>
      </c>
      <c r="E6" s="3">
        <v>10000</v>
      </c>
      <c r="G6" t="str">
        <f t="shared" si="0"/>
        <v>Not Matched</v>
      </c>
    </row>
    <row r="7" spans="1:13" x14ac:dyDescent="0.35">
      <c r="A7" s="3">
        <v>6</v>
      </c>
      <c r="B7" s="3">
        <v>25</v>
      </c>
      <c r="C7" s="3">
        <v>62</v>
      </c>
      <c r="D7" s="3" t="s">
        <v>6</v>
      </c>
      <c r="E7" s="3">
        <v>5001000</v>
      </c>
      <c r="G7" t="str">
        <f t="shared" si="0"/>
        <v>Matched</v>
      </c>
    </row>
    <row r="8" spans="1:13" x14ac:dyDescent="0.35">
      <c r="A8" s="3">
        <v>7</v>
      </c>
      <c r="B8" s="3">
        <v>19</v>
      </c>
      <c r="C8" s="3">
        <v>54</v>
      </c>
      <c r="D8" s="3" t="s">
        <v>5</v>
      </c>
      <c r="E8" s="3">
        <v>800000</v>
      </c>
      <c r="G8" t="str">
        <f t="shared" si="0"/>
        <v>Matched</v>
      </c>
    </row>
    <row r="9" spans="1:13" x14ac:dyDescent="0.35">
      <c r="A9" s="3">
        <v>8</v>
      </c>
      <c r="B9" s="3">
        <v>2</v>
      </c>
      <c r="C9" s="3">
        <v>21</v>
      </c>
      <c r="D9" s="3" t="s">
        <v>5</v>
      </c>
      <c r="E9" s="3">
        <v>9000</v>
      </c>
      <c r="G9" t="str">
        <f t="shared" si="0"/>
        <v>Not Matched</v>
      </c>
    </row>
    <row r="10" spans="1:13" x14ac:dyDescent="0.35">
      <c r="A10" s="3">
        <v>9</v>
      </c>
      <c r="B10" s="3">
        <v>10</v>
      </c>
      <c r="C10" s="3">
        <v>36</v>
      </c>
      <c r="D10" s="3" t="s">
        <v>5</v>
      </c>
      <c r="E10" s="3">
        <v>61500</v>
      </c>
      <c r="G10" t="str">
        <f t="shared" si="0"/>
        <v>Matched</v>
      </c>
    </row>
    <row r="11" spans="1:13" x14ac:dyDescent="0.35">
      <c r="A11" s="3">
        <v>10</v>
      </c>
      <c r="B11" s="3">
        <v>15</v>
      </c>
      <c r="C11" s="3">
        <v>54</v>
      </c>
      <c r="D11" s="3" t="s">
        <v>5</v>
      </c>
      <c r="E11" s="3">
        <v>650000</v>
      </c>
      <c r="G11" t="str">
        <f t="shared" si="0"/>
        <v>Matched</v>
      </c>
      <c r="H11" s="5"/>
    </row>
    <row r="12" spans="1:13" x14ac:dyDescent="0.35">
      <c r="A12" s="3">
        <v>11</v>
      </c>
      <c r="B12" s="3">
        <v>4</v>
      </c>
      <c r="C12" s="3">
        <v>26</v>
      </c>
      <c r="D12" s="3" t="s">
        <v>5</v>
      </c>
      <c r="E12" s="3">
        <v>250000</v>
      </c>
      <c r="G12" t="str">
        <f t="shared" si="0"/>
        <v>Matched</v>
      </c>
    </row>
    <row r="13" spans="1:13" x14ac:dyDescent="0.35">
      <c r="A13" s="3">
        <v>12</v>
      </c>
      <c r="B13" s="3">
        <v>6</v>
      </c>
      <c r="C13" s="3">
        <v>29</v>
      </c>
      <c r="D13" s="3" t="s">
        <v>6</v>
      </c>
      <c r="E13" s="3">
        <v>1400000</v>
      </c>
      <c r="G13" t="str">
        <f t="shared" si="0"/>
        <v>Matched</v>
      </c>
    </row>
    <row r="14" spans="1:13" x14ac:dyDescent="0.35">
      <c r="A14" s="3">
        <v>13</v>
      </c>
      <c r="B14" s="3">
        <v>14</v>
      </c>
      <c r="C14" s="3">
        <v>39</v>
      </c>
      <c r="D14" s="3" t="s">
        <v>6</v>
      </c>
      <c r="E14" s="3">
        <v>6000050</v>
      </c>
      <c r="G14" t="str">
        <f t="shared" si="0"/>
        <v>Matched</v>
      </c>
    </row>
    <row r="15" spans="1:13" x14ac:dyDescent="0.35">
      <c r="A15" s="3">
        <v>14</v>
      </c>
      <c r="B15" s="3">
        <v>11</v>
      </c>
      <c r="C15" s="3">
        <v>40</v>
      </c>
      <c r="D15" s="3" t="s">
        <v>6</v>
      </c>
      <c r="E15" s="3">
        <v>220100</v>
      </c>
      <c r="G15" t="str">
        <f t="shared" si="0"/>
        <v>Matched</v>
      </c>
    </row>
    <row r="16" spans="1:13" x14ac:dyDescent="0.35">
      <c r="A16" s="3">
        <v>15</v>
      </c>
      <c r="B16" s="3">
        <v>2</v>
      </c>
      <c r="C16" s="3">
        <v>23</v>
      </c>
      <c r="D16" s="3" t="s">
        <v>6</v>
      </c>
      <c r="E16" s="3">
        <v>7500</v>
      </c>
      <c r="G16" t="str">
        <f t="shared" si="0"/>
        <v>Not Matched</v>
      </c>
    </row>
    <row r="17" spans="1:7" x14ac:dyDescent="0.35">
      <c r="A17" s="3">
        <v>16</v>
      </c>
      <c r="B17" s="3">
        <v>4</v>
      </c>
      <c r="C17" s="3">
        <v>27</v>
      </c>
      <c r="D17" s="3" t="s">
        <v>5</v>
      </c>
      <c r="E17" s="3">
        <v>87000</v>
      </c>
      <c r="G17" t="str">
        <f t="shared" si="0"/>
        <v>Matched</v>
      </c>
    </row>
    <row r="18" spans="1:7" x14ac:dyDescent="0.35">
      <c r="A18" s="3">
        <v>17</v>
      </c>
      <c r="B18" s="3">
        <v>10</v>
      </c>
      <c r="C18" s="3">
        <v>34</v>
      </c>
      <c r="D18" s="3" t="s">
        <v>5</v>
      </c>
      <c r="E18" s="3">
        <v>930000</v>
      </c>
      <c r="G18" t="str">
        <f t="shared" si="0"/>
        <v>Matched</v>
      </c>
    </row>
    <row r="19" spans="1:7" x14ac:dyDescent="0.35">
      <c r="A19" s="3">
        <v>18</v>
      </c>
      <c r="B19" s="3">
        <v>15</v>
      </c>
      <c r="C19" s="3">
        <v>54</v>
      </c>
      <c r="D19" s="3" t="s">
        <v>5</v>
      </c>
      <c r="E19" s="3">
        <v>7900000</v>
      </c>
      <c r="G19" t="str">
        <f t="shared" si="0"/>
        <v>Matched</v>
      </c>
    </row>
    <row r="20" spans="1:7" x14ac:dyDescent="0.35">
      <c r="A20" s="3">
        <v>19</v>
      </c>
      <c r="B20" s="3">
        <v>2</v>
      </c>
      <c r="C20" s="3">
        <v>21</v>
      </c>
      <c r="D20" s="3" t="s">
        <v>6</v>
      </c>
      <c r="E20" s="3">
        <v>15000</v>
      </c>
      <c r="G20" t="str">
        <f t="shared" si="0"/>
        <v>Not Matched</v>
      </c>
    </row>
    <row r="21" spans="1:7" x14ac:dyDescent="0.35">
      <c r="A21" s="3">
        <v>20</v>
      </c>
      <c r="B21" s="3">
        <v>10</v>
      </c>
      <c r="C21" s="3">
        <v>36</v>
      </c>
      <c r="D21" s="3" t="s">
        <v>6</v>
      </c>
      <c r="E21" s="3">
        <v>330000</v>
      </c>
      <c r="G21" t="str">
        <f t="shared" si="0"/>
        <v>Matched</v>
      </c>
    </row>
    <row r="22" spans="1:7" x14ac:dyDescent="0.35">
      <c r="A22" s="3">
        <v>21</v>
      </c>
      <c r="B22" s="3">
        <v>15</v>
      </c>
      <c r="C22" s="3">
        <v>54</v>
      </c>
      <c r="D22" s="3" t="s">
        <v>6</v>
      </c>
      <c r="E22" s="3">
        <v>6570000</v>
      </c>
      <c r="G22" t="str">
        <f t="shared" si="0"/>
        <v>Matched</v>
      </c>
    </row>
    <row r="23" spans="1:7" x14ac:dyDescent="0.35">
      <c r="A23" s="3">
        <v>22</v>
      </c>
      <c r="B23" s="3">
        <v>4</v>
      </c>
      <c r="C23" s="3">
        <v>26</v>
      </c>
      <c r="D23" s="3" t="s">
        <v>6</v>
      </c>
      <c r="E23" s="3">
        <v>25000</v>
      </c>
      <c r="G23" t="str">
        <f t="shared" si="0"/>
        <v>Not Matched</v>
      </c>
    </row>
    <row r="24" spans="1:7" x14ac:dyDescent="0.35">
      <c r="A24" s="3">
        <v>23</v>
      </c>
      <c r="B24" s="3">
        <v>5</v>
      </c>
      <c r="C24" s="3">
        <v>29</v>
      </c>
      <c r="D24" s="3" t="s">
        <v>6</v>
      </c>
      <c r="E24" s="3">
        <v>6845000</v>
      </c>
      <c r="G24" t="str">
        <f t="shared" si="0"/>
        <v>Matched</v>
      </c>
    </row>
    <row r="25" spans="1:7" x14ac:dyDescent="0.35">
      <c r="A25" s="3">
        <v>24</v>
      </c>
      <c r="B25" s="3">
        <v>1</v>
      </c>
      <c r="C25" s="3">
        <v>21</v>
      </c>
      <c r="D25" s="3" t="s">
        <v>5</v>
      </c>
      <c r="E25" s="3">
        <v>6000</v>
      </c>
      <c r="G25" t="str">
        <f t="shared" si="0"/>
        <v>Not Matched</v>
      </c>
    </row>
    <row r="26" spans="1:7" x14ac:dyDescent="0.35">
      <c r="A26" s="3">
        <v>25</v>
      </c>
      <c r="B26" s="3">
        <v>4</v>
      </c>
      <c r="C26" s="3">
        <v>23</v>
      </c>
      <c r="D26" s="3" t="s">
        <v>5</v>
      </c>
      <c r="E26" s="3">
        <v>8900</v>
      </c>
      <c r="G26" t="str">
        <f t="shared" si="0"/>
        <v>Not Matched</v>
      </c>
    </row>
    <row r="27" spans="1:7" x14ac:dyDescent="0.35">
      <c r="A27" s="3">
        <v>26</v>
      </c>
      <c r="B27" s="3">
        <v>3</v>
      </c>
      <c r="C27" s="3">
        <v>22</v>
      </c>
      <c r="D27" s="3" t="s">
        <v>5</v>
      </c>
      <c r="E27" s="3">
        <v>20000</v>
      </c>
      <c r="G27" t="str">
        <f t="shared" si="0"/>
        <v>Not Matched</v>
      </c>
    </row>
    <row r="28" spans="1:7" x14ac:dyDescent="0.35">
      <c r="A28" s="3">
        <v>27</v>
      </c>
      <c r="B28" s="3">
        <v>1</v>
      </c>
      <c r="C28" s="3">
        <v>18</v>
      </c>
      <c r="D28" s="3" t="s">
        <v>6</v>
      </c>
      <c r="E28" s="3">
        <v>3000</v>
      </c>
      <c r="G28" t="str">
        <f t="shared" si="0"/>
        <v>Not Matched</v>
      </c>
    </row>
    <row r="29" spans="1:7" x14ac:dyDescent="0.35">
      <c r="A29" s="3">
        <v>28</v>
      </c>
      <c r="B29" s="3">
        <v>27</v>
      </c>
      <c r="C29" s="3">
        <v>62</v>
      </c>
      <c r="D29" s="3" t="s">
        <v>5</v>
      </c>
      <c r="E29" s="3">
        <v>10000000</v>
      </c>
      <c r="G29" t="str">
        <f t="shared" si="0"/>
        <v>Matched</v>
      </c>
    </row>
    <row r="30" spans="1:7" x14ac:dyDescent="0.35">
      <c r="A30" s="3">
        <v>29</v>
      </c>
      <c r="B30" s="3">
        <v>19</v>
      </c>
      <c r="C30" s="3">
        <v>54</v>
      </c>
      <c r="D30" s="3" t="s">
        <v>5</v>
      </c>
      <c r="E30" s="3">
        <v>5000000</v>
      </c>
      <c r="G30" t="str">
        <f t="shared" si="0"/>
        <v>Matched</v>
      </c>
    </row>
    <row r="31" spans="1:7" x14ac:dyDescent="0.35">
      <c r="A31" s="3">
        <v>30</v>
      </c>
      <c r="B31" s="3">
        <v>2</v>
      </c>
      <c r="C31" s="3">
        <v>21</v>
      </c>
      <c r="D31" s="3" t="s">
        <v>5</v>
      </c>
      <c r="E31" s="3">
        <v>6100</v>
      </c>
      <c r="G31" t="str">
        <f t="shared" si="0"/>
        <v>Not Matched</v>
      </c>
    </row>
    <row r="32" spans="1:7" x14ac:dyDescent="0.35">
      <c r="A32" s="3">
        <v>31</v>
      </c>
      <c r="B32" s="3">
        <v>10</v>
      </c>
      <c r="C32" s="3">
        <v>34</v>
      </c>
      <c r="D32" s="3" t="s">
        <v>6</v>
      </c>
      <c r="E32" s="3">
        <v>80000</v>
      </c>
      <c r="G32" t="str">
        <f t="shared" si="0"/>
        <v>Matched</v>
      </c>
    </row>
    <row r="33" spans="1:7" x14ac:dyDescent="0.35">
      <c r="A33" s="3">
        <v>32</v>
      </c>
      <c r="B33" s="3">
        <v>15</v>
      </c>
      <c r="C33" s="3">
        <v>54</v>
      </c>
      <c r="D33" s="3" t="s">
        <v>6</v>
      </c>
      <c r="E33" s="3">
        <v>900000</v>
      </c>
      <c r="G33" t="str">
        <f t="shared" si="0"/>
        <v>Matched</v>
      </c>
    </row>
    <row r="34" spans="1:7" x14ac:dyDescent="0.35">
      <c r="A34" s="3">
        <v>33</v>
      </c>
      <c r="B34" s="3">
        <v>20</v>
      </c>
      <c r="C34" s="3">
        <v>55</v>
      </c>
      <c r="D34" s="3" t="s">
        <v>5</v>
      </c>
      <c r="E34" s="3">
        <v>1540000</v>
      </c>
      <c r="G34" t="str">
        <f t="shared" si="0"/>
        <v>Matched</v>
      </c>
    </row>
    <row r="35" spans="1:7" x14ac:dyDescent="0.35">
      <c r="A35" s="3">
        <v>34</v>
      </c>
      <c r="B35" s="3">
        <v>19</v>
      </c>
      <c r="C35" s="3">
        <v>53</v>
      </c>
      <c r="D35" s="3" t="s">
        <v>5</v>
      </c>
      <c r="E35" s="3">
        <v>9300000</v>
      </c>
      <c r="G35" t="str">
        <f t="shared" si="0"/>
        <v>Matched</v>
      </c>
    </row>
    <row r="36" spans="1:7" x14ac:dyDescent="0.35">
      <c r="A36" s="3">
        <v>35</v>
      </c>
      <c r="B36" s="3">
        <v>16</v>
      </c>
      <c r="C36" s="3">
        <v>49</v>
      </c>
      <c r="D36" s="3" t="s">
        <v>6</v>
      </c>
      <c r="E36" s="3">
        <v>7600000</v>
      </c>
      <c r="G36" t="str">
        <f t="shared" si="0"/>
        <v>Matched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0BA8-42FD-4FAF-8AFC-3147E21B48D2}">
  <dimension ref="A1:E36"/>
  <sheetViews>
    <sheetView zoomScale="49" zoomScaleNormal="85" workbookViewId="0">
      <selection activeCell="AE24" sqref="AE24"/>
    </sheetView>
  </sheetViews>
  <sheetFormatPr defaultRowHeight="14.5" x14ac:dyDescent="0.35"/>
  <sheetData>
    <row r="1" spans="1:5" ht="15.5" x14ac:dyDescent="0.35">
      <c r="A1" s="4" t="s">
        <v>0</v>
      </c>
      <c r="B1" s="4" t="s">
        <v>1</v>
      </c>
      <c r="C1" s="4" t="s">
        <v>2</v>
      </c>
      <c r="D1" s="4" t="s">
        <v>3</v>
      </c>
      <c r="E1" s="4" t="s">
        <v>4</v>
      </c>
    </row>
    <row r="2" spans="1:5" x14ac:dyDescent="0.35">
      <c r="A2" s="3">
        <v>1</v>
      </c>
      <c r="B2" s="3">
        <v>5</v>
      </c>
      <c r="C2" s="3">
        <v>28</v>
      </c>
      <c r="D2" s="3" t="s">
        <v>5</v>
      </c>
      <c r="E2" s="3">
        <v>250000</v>
      </c>
    </row>
    <row r="3" spans="1:5" x14ac:dyDescent="0.35">
      <c r="A3" s="3">
        <v>2</v>
      </c>
      <c r="B3" s="3">
        <v>1</v>
      </c>
      <c r="C3" s="3">
        <v>21</v>
      </c>
      <c r="D3" s="3" t="s">
        <v>6</v>
      </c>
      <c r="E3" s="3">
        <v>50000</v>
      </c>
    </row>
    <row r="4" spans="1:5" x14ac:dyDescent="0.35">
      <c r="A4" s="3">
        <v>3</v>
      </c>
      <c r="B4" s="3">
        <v>3</v>
      </c>
      <c r="C4" s="3">
        <v>23</v>
      </c>
      <c r="D4" s="3" t="s">
        <v>5</v>
      </c>
      <c r="E4" s="3">
        <v>170000</v>
      </c>
    </row>
    <row r="5" spans="1:5" x14ac:dyDescent="0.35">
      <c r="A5" s="3">
        <v>4</v>
      </c>
      <c r="B5" s="3">
        <v>2</v>
      </c>
      <c r="C5" s="3">
        <v>22</v>
      </c>
      <c r="D5" s="3" t="s">
        <v>6</v>
      </c>
      <c r="E5" s="3">
        <v>25000</v>
      </c>
    </row>
    <row r="6" spans="1:5" x14ac:dyDescent="0.35">
      <c r="A6" s="3">
        <v>5</v>
      </c>
      <c r="B6" s="3">
        <v>1</v>
      </c>
      <c r="C6" s="3">
        <v>17</v>
      </c>
      <c r="D6" s="3" t="s">
        <v>6</v>
      </c>
      <c r="E6" s="3">
        <v>10000</v>
      </c>
    </row>
    <row r="7" spans="1:5" x14ac:dyDescent="0.35">
      <c r="A7" s="3">
        <v>6</v>
      </c>
      <c r="B7" s="3">
        <v>25</v>
      </c>
      <c r="C7" s="3">
        <v>62</v>
      </c>
      <c r="D7" s="3" t="s">
        <v>6</v>
      </c>
      <c r="E7" s="3">
        <v>5001000</v>
      </c>
    </row>
    <row r="8" spans="1:5" x14ac:dyDescent="0.35">
      <c r="A8" s="3">
        <v>7</v>
      </c>
      <c r="B8" s="3">
        <v>19</v>
      </c>
      <c r="C8" s="3">
        <v>54</v>
      </c>
      <c r="D8" s="3" t="s">
        <v>5</v>
      </c>
      <c r="E8" s="3">
        <v>800000</v>
      </c>
    </row>
    <row r="9" spans="1:5" x14ac:dyDescent="0.35">
      <c r="A9" s="3">
        <v>8</v>
      </c>
      <c r="B9" s="3">
        <v>2</v>
      </c>
      <c r="C9" s="3">
        <v>21</v>
      </c>
      <c r="D9" s="3" t="s">
        <v>5</v>
      </c>
      <c r="E9" s="3">
        <v>9000</v>
      </c>
    </row>
    <row r="10" spans="1:5" x14ac:dyDescent="0.35">
      <c r="A10" s="3">
        <v>9</v>
      </c>
      <c r="B10" s="3">
        <v>10</v>
      </c>
      <c r="C10" s="3">
        <v>36</v>
      </c>
      <c r="D10" s="3" t="s">
        <v>5</v>
      </c>
      <c r="E10" s="3">
        <v>61500</v>
      </c>
    </row>
    <row r="11" spans="1:5" x14ac:dyDescent="0.35">
      <c r="A11" s="3">
        <v>10</v>
      </c>
      <c r="B11" s="3">
        <v>15</v>
      </c>
      <c r="C11" s="3">
        <v>54</v>
      </c>
      <c r="D11" s="3" t="s">
        <v>5</v>
      </c>
      <c r="E11" s="3">
        <v>650000</v>
      </c>
    </row>
    <row r="12" spans="1:5" x14ac:dyDescent="0.35">
      <c r="A12" s="3">
        <v>11</v>
      </c>
      <c r="B12" s="3">
        <v>4</v>
      </c>
      <c r="C12" s="3">
        <v>26</v>
      </c>
      <c r="D12" s="3" t="s">
        <v>5</v>
      </c>
      <c r="E12" s="3">
        <v>250000</v>
      </c>
    </row>
    <row r="13" spans="1:5" x14ac:dyDescent="0.35">
      <c r="A13" s="3">
        <v>12</v>
      </c>
      <c r="B13" s="3">
        <v>6</v>
      </c>
      <c r="C13" s="3">
        <v>29</v>
      </c>
      <c r="D13" s="3" t="s">
        <v>6</v>
      </c>
      <c r="E13" s="3">
        <v>1400000</v>
      </c>
    </row>
    <row r="14" spans="1:5" x14ac:dyDescent="0.35">
      <c r="A14" s="3">
        <v>13</v>
      </c>
      <c r="B14" s="3">
        <v>14</v>
      </c>
      <c r="C14" s="3">
        <v>39</v>
      </c>
      <c r="D14" s="3" t="s">
        <v>6</v>
      </c>
      <c r="E14" s="3">
        <v>6000050</v>
      </c>
    </row>
    <row r="15" spans="1:5" x14ac:dyDescent="0.35">
      <c r="A15" s="3">
        <v>14</v>
      </c>
      <c r="B15" s="3">
        <v>11</v>
      </c>
      <c r="C15" s="3">
        <v>40</v>
      </c>
      <c r="D15" s="3" t="s">
        <v>6</v>
      </c>
      <c r="E15" s="3">
        <v>220100</v>
      </c>
    </row>
    <row r="16" spans="1:5" x14ac:dyDescent="0.35">
      <c r="A16" s="3">
        <v>15</v>
      </c>
      <c r="B16" s="3">
        <v>2</v>
      </c>
      <c r="C16" s="3">
        <v>23</v>
      </c>
      <c r="D16" s="3" t="s">
        <v>6</v>
      </c>
      <c r="E16" s="3">
        <v>7500</v>
      </c>
    </row>
    <row r="17" spans="1:5" x14ac:dyDescent="0.35">
      <c r="A17" s="3">
        <v>16</v>
      </c>
      <c r="B17" s="3">
        <v>4</v>
      </c>
      <c r="C17" s="3">
        <v>27</v>
      </c>
      <c r="D17" s="3" t="s">
        <v>5</v>
      </c>
      <c r="E17" s="3">
        <v>87000</v>
      </c>
    </row>
    <row r="18" spans="1:5" x14ac:dyDescent="0.35">
      <c r="A18" s="3">
        <v>17</v>
      </c>
      <c r="B18" s="3">
        <v>10</v>
      </c>
      <c r="C18" s="3">
        <v>34</v>
      </c>
      <c r="D18" s="3" t="s">
        <v>5</v>
      </c>
      <c r="E18" s="3">
        <v>930000</v>
      </c>
    </row>
    <row r="19" spans="1:5" x14ac:dyDescent="0.35">
      <c r="A19" s="3">
        <v>18</v>
      </c>
      <c r="B19" s="3">
        <v>15</v>
      </c>
      <c r="C19" s="3">
        <v>54</v>
      </c>
      <c r="D19" s="3" t="s">
        <v>5</v>
      </c>
      <c r="E19" s="3">
        <v>7900000</v>
      </c>
    </row>
    <row r="20" spans="1:5" x14ac:dyDescent="0.35">
      <c r="A20" s="3">
        <v>19</v>
      </c>
      <c r="B20" s="3">
        <v>2</v>
      </c>
      <c r="C20" s="3">
        <v>21</v>
      </c>
      <c r="D20" s="3" t="s">
        <v>6</v>
      </c>
      <c r="E20" s="3">
        <v>15000</v>
      </c>
    </row>
    <row r="21" spans="1:5" x14ac:dyDescent="0.35">
      <c r="A21" s="3">
        <v>20</v>
      </c>
      <c r="B21" s="3">
        <v>10</v>
      </c>
      <c r="C21" s="3">
        <v>36</v>
      </c>
      <c r="D21" s="3" t="s">
        <v>6</v>
      </c>
      <c r="E21" s="3">
        <v>330000</v>
      </c>
    </row>
    <row r="22" spans="1:5" x14ac:dyDescent="0.35">
      <c r="A22" s="3">
        <v>21</v>
      </c>
      <c r="B22" s="3">
        <v>15</v>
      </c>
      <c r="C22" s="3">
        <v>54</v>
      </c>
      <c r="D22" s="3" t="s">
        <v>6</v>
      </c>
      <c r="E22" s="3">
        <v>6570000</v>
      </c>
    </row>
    <row r="23" spans="1:5" x14ac:dyDescent="0.35">
      <c r="A23" s="3">
        <v>22</v>
      </c>
      <c r="B23" s="3">
        <v>4</v>
      </c>
      <c r="C23" s="3">
        <v>26</v>
      </c>
      <c r="D23" s="3" t="s">
        <v>6</v>
      </c>
      <c r="E23" s="3">
        <v>25000</v>
      </c>
    </row>
    <row r="24" spans="1:5" x14ac:dyDescent="0.35">
      <c r="A24" s="3">
        <v>23</v>
      </c>
      <c r="B24" s="3">
        <v>5</v>
      </c>
      <c r="C24" s="3">
        <v>29</v>
      </c>
      <c r="D24" s="3" t="s">
        <v>6</v>
      </c>
      <c r="E24" s="3">
        <v>6845000</v>
      </c>
    </row>
    <row r="25" spans="1:5" x14ac:dyDescent="0.35">
      <c r="A25" s="3">
        <v>24</v>
      </c>
      <c r="B25" s="3">
        <v>1</v>
      </c>
      <c r="C25" s="3">
        <v>21</v>
      </c>
      <c r="D25" s="3" t="s">
        <v>5</v>
      </c>
      <c r="E25" s="3">
        <v>6000</v>
      </c>
    </row>
    <row r="26" spans="1:5" x14ac:dyDescent="0.35">
      <c r="A26" s="3">
        <v>25</v>
      </c>
      <c r="B26" s="3">
        <v>4</v>
      </c>
      <c r="C26" s="3">
        <v>23</v>
      </c>
      <c r="D26" s="3" t="s">
        <v>5</v>
      </c>
      <c r="E26" s="3">
        <v>8900</v>
      </c>
    </row>
    <row r="27" spans="1:5" x14ac:dyDescent="0.35">
      <c r="A27" s="3">
        <v>26</v>
      </c>
      <c r="B27" s="3">
        <v>3</v>
      </c>
      <c r="C27" s="3">
        <v>22</v>
      </c>
      <c r="D27" s="3" t="s">
        <v>5</v>
      </c>
      <c r="E27" s="3">
        <v>20000</v>
      </c>
    </row>
    <row r="28" spans="1:5" x14ac:dyDescent="0.35">
      <c r="A28" s="3">
        <v>27</v>
      </c>
      <c r="B28" s="3">
        <v>1</v>
      </c>
      <c r="C28" s="3">
        <v>18</v>
      </c>
      <c r="D28" s="3" t="s">
        <v>6</v>
      </c>
      <c r="E28" s="3">
        <v>3000</v>
      </c>
    </row>
    <row r="29" spans="1:5" x14ac:dyDescent="0.35">
      <c r="A29" s="3">
        <v>28</v>
      </c>
      <c r="B29" s="3">
        <v>27</v>
      </c>
      <c r="C29" s="3">
        <v>62</v>
      </c>
      <c r="D29" s="3" t="s">
        <v>5</v>
      </c>
      <c r="E29" s="3">
        <v>10000000</v>
      </c>
    </row>
    <row r="30" spans="1:5" x14ac:dyDescent="0.35">
      <c r="A30" s="3">
        <v>29</v>
      </c>
      <c r="B30" s="3">
        <v>19</v>
      </c>
      <c r="C30" s="3">
        <v>54</v>
      </c>
      <c r="D30" s="3" t="s">
        <v>5</v>
      </c>
      <c r="E30" s="3">
        <v>5000000</v>
      </c>
    </row>
    <row r="31" spans="1:5" x14ac:dyDescent="0.35">
      <c r="A31" s="3">
        <v>30</v>
      </c>
      <c r="B31" s="3">
        <v>2</v>
      </c>
      <c r="C31" s="3">
        <v>21</v>
      </c>
      <c r="D31" s="3" t="s">
        <v>5</v>
      </c>
      <c r="E31" s="3">
        <v>6100</v>
      </c>
    </row>
    <row r="32" spans="1:5" x14ac:dyDescent="0.35">
      <c r="A32" s="3">
        <v>31</v>
      </c>
      <c r="B32" s="3">
        <v>10</v>
      </c>
      <c r="C32" s="3">
        <v>34</v>
      </c>
      <c r="D32" s="3" t="s">
        <v>6</v>
      </c>
      <c r="E32" s="3">
        <v>80000</v>
      </c>
    </row>
    <row r="33" spans="1:5" x14ac:dyDescent="0.35">
      <c r="A33" s="3">
        <v>32</v>
      </c>
      <c r="B33" s="3">
        <v>15</v>
      </c>
      <c r="C33" s="3">
        <v>54</v>
      </c>
      <c r="D33" s="3" t="s">
        <v>6</v>
      </c>
      <c r="E33" s="3">
        <v>900000</v>
      </c>
    </row>
    <row r="34" spans="1:5" x14ac:dyDescent="0.35">
      <c r="A34" s="3">
        <v>33</v>
      </c>
      <c r="B34" s="3">
        <v>20</v>
      </c>
      <c r="C34" s="3">
        <v>55</v>
      </c>
      <c r="D34" s="3" t="s">
        <v>5</v>
      </c>
      <c r="E34" s="3">
        <v>1540000</v>
      </c>
    </row>
    <row r="35" spans="1:5" x14ac:dyDescent="0.35">
      <c r="A35" s="3">
        <v>34</v>
      </c>
      <c r="B35" s="3">
        <v>19</v>
      </c>
      <c r="C35" s="3">
        <v>53</v>
      </c>
      <c r="D35" s="3" t="s">
        <v>5</v>
      </c>
      <c r="E35" s="3">
        <v>9300000</v>
      </c>
    </row>
    <row r="36" spans="1:5" x14ac:dyDescent="0.35">
      <c r="A36" s="3">
        <v>35</v>
      </c>
      <c r="B36" s="3">
        <v>16</v>
      </c>
      <c r="C36" s="3">
        <v>49</v>
      </c>
      <c r="D36" s="3" t="s">
        <v>6</v>
      </c>
      <c r="E36" s="3">
        <v>7600000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40283-6C63-44E2-9599-2F457876974C}">
  <dimension ref="A3:B6"/>
  <sheetViews>
    <sheetView zoomScale="64" workbookViewId="0">
      <selection activeCell="P25" sqref="P25"/>
    </sheetView>
  </sheetViews>
  <sheetFormatPr defaultRowHeight="14.5" x14ac:dyDescent="0.35"/>
  <cols>
    <col min="1" max="1" width="12.36328125" bestFit="1" customWidth="1"/>
    <col min="2" max="2" width="12.08984375" bestFit="1" customWidth="1"/>
  </cols>
  <sheetData>
    <row r="3" spans="1:2" x14ac:dyDescent="0.35">
      <c r="A3" s="1" t="s">
        <v>7</v>
      </c>
      <c r="B3" t="s">
        <v>16</v>
      </c>
    </row>
    <row r="4" spans="1:2" x14ac:dyDescent="0.35">
      <c r="A4" s="2" t="s">
        <v>5</v>
      </c>
      <c r="B4">
        <v>36988500</v>
      </c>
    </row>
    <row r="5" spans="1:2" x14ac:dyDescent="0.35">
      <c r="A5" s="2" t="s">
        <v>6</v>
      </c>
      <c r="B5">
        <v>35081650</v>
      </c>
    </row>
    <row r="6" spans="1:2" x14ac:dyDescent="0.35">
      <c r="A6" s="2" t="s">
        <v>8</v>
      </c>
      <c r="B6">
        <v>72070150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E23AD-23A4-4F18-9237-B236C82C2733}">
  <dimension ref="A1:P8"/>
  <sheetViews>
    <sheetView zoomScale="91" workbookViewId="0">
      <selection activeCell="R6" sqref="R6"/>
    </sheetView>
  </sheetViews>
  <sheetFormatPr defaultRowHeight="14.5" x14ac:dyDescent="0.35"/>
  <cols>
    <col min="1" max="1" width="12.36328125" bestFit="1" customWidth="1"/>
    <col min="2" max="2" width="12.08984375" bestFit="1" customWidth="1"/>
    <col min="3" max="3" width="10.1796875" bestFit="1" customWidth="1"/>
    <col min="4" max="4" width="22" bestFit="1" customWidth="1"/>
  </cols>
  <sheetData>
    <row r="1" spans="1:16" ht="36" x14ac:dyDescent="0.8">
      <c r="A1" s="10"/>
      <c r="B1" s="10"/>
      <c r="C1" s="12"/>
      <c r="D1" s="12"/>
      <c r="E1" s="12"/>
      <c r="F1" s="11" t="s">
        <v>19</v>
      </c>
      <c r="G1" s="11"/>
      <c r="H1" s="11"/>
      <c r="I1" s="12"/>
      <c r="J1" s="12"/>
      <c r="K1" s="12"/>
      <c r="L1" s="12"/>
      <c r="M1" s="12"/>
      <c r="N1" s="12"/>
      <c r="O1" s="10"/>
      <c r="P1" s="10"/>
    </row>
    <row r="2" spans="1:16" ht="15.5" x14ac:dyDescent="0.35">
      <c r="A2" s="10"/>
      <c r="B2" s="10"/>
      <c r="C2" s="10"/>
      <c r="D2" s="10"/>
      <c r="E2" s="10"/>
      <c r="F2" s="10"/>
      <c r="G2" s="10"/>
      <c r="H2" s="10"/>
      <c r="I2" s="10"/>
      <c r="J2" s="10"/>
      <c r="K2" s="10"/>
      <c r="L2" s="10"/>
      <c r="M2" s="10"/>
      <c r="N2" s="10"/>
      <c r="O2" s="10"/>
      <c r="P2" s="10"/>
    </row>
    <row r="3" spans="1:16" ht="15.5" x14ac:dyDescent="0.35">
      <c r="A3" s="10"/>
      <c r="B3" s="10"/>
      <c r="C3" s="10"/>
      <c r="D3" s="10"/>
      <c r="E3" s="10"/>
      <c r="F3" s="10"/>
      <c r="G3" s="10"/>
      <c r="H3" s="10"/>
      <c r="I3" s="10"/>
      <c r="J3" s="10"/>
      <c r="K3" s="10"/>
      <c r="L3" s="10"/>
      <c r="M3" s="10"/>
      <c r="N3" s="10"/>
      <c r="O3" s="10"/>
      <c r="P3" s="10"/>
    </row>
    <row r="5" spans="1:16" x14ac:dyDescent="0.35">
      <c r="A5" s="1" t="s">
        <v>7</v>
      </c>
      <c r="B5" t="s">
        <v>16</v>
      </c>
      <c r="C5" t="s">
        <v>18</v>
      </c>
      <c r="D5" t="s">
        <v>17</v>
      </c>
    </row>
    <row r="6" spans="1:16" x14ac:dyDescent="0.35">
      <c r="A6" s="2" t="s">
        <v>5</v>
      </c>
      <c r="B6" s="9">
        <v>36988500</v>
      </c>
      <c r="C6" s="9">
        <v>668</v>
      </c>
      <c r="D6" s="9">
        <v>182</v>
      </c>
    </row>
    <row r="7" spans="1:16" x14ac:dyDescent="0.35">
      <c r="A7" s="2" t="s">
        <v>6</v>
      </c>
      <c r="B7" s="9">
        <v>35081650</v>
      </c>
      <c r="C7" s="9">
        <v>574</v>
      </c>
      <c r="D7" s="9">
        <v>140</v>
      </c>
    </row>
    <row r="8" spans="1:16" x14ac:dyDescent="0.35">
      <c r="A8" s="2" t="s">
        <v>8</v>
      </c>
      <c r="B8" s="9">
        <v>72070150</v>
      </c>
      <c r="C8" s="9">
        <v>1242</v>
      </c>
      <c r="D8" s="9">
        <v>322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Employee_Salary_Dataset</vt:lpstr>
      <vt:lpstr>Chart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dhanashri nale</cp:lastModifiedBy>
  <dcterms:created xsi:type="dcterms:W3CDTF">2025-12-06T15:46:24Z</dcterms:created>
  <dcterms:modified xsi:type="dcterms:W3CDTF">2025-12-06T19:27:03Z</dcterms:modified>
</cp:coreProperties>
</file>